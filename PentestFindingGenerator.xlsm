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📋 Input Form" sheetId="1" state="visible" r:id="rId1"/>
    <sheet xmlns:r="http://schemas.openxmlformats.org/officeDocument/2006/relationships" name="📊 Summary" sheetId="2" state="visible" r:id="rId2"/>
    <sheet xmlns:r="http://schemas.openxmlformats.org/officeDocument/2006/relationships" name="📄 Detailed Report" sheetId="3" state="visible" r:id="rId3"/>
    <sheet xmlns:r="http://schemas.openxmlformats.org/officeDocument/2006/relationships" name="ℹ️ Instructions" sheetId="4" state="visible" r:id="rId4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0.0%"/>
  </numFmts>
  <fonts count="16">
    <font>
      <name val="Calibri"/>
      <family val="2"/>
      <color theme="1"/>
      <sz val="11"/>
      <scheme val="minor"/>
    </font>
    <font>
      <name val="Arial"/>
      <b val="1"/>
      <color rgb="00FFFFFF"/>
      <sz val="16"/>
    </font>
    <font>
      <name val="Arial"/>
      <b val="1"/>
      <color rgb="00FFFFFF"/>
      <sz val="11"/>
    </font>
    <font>
      <name val="Arial"/>
      <b val="1"/>
      <color rgb="00333333"/>
      <sz val="10"/>
    </font>
    <font>
      <name val="Arial"/>
      <color rgb="FF1A1A2E"/>
      <sz val="10"/>
    </font>
    <font>
      <name val="Arial"/>
      <b val="1"/>
      <color rgb="00FFFFFF"/>
      <sz val="10"/>
    </font>
    <font>
      <name val="Arial"/>
      <color rgb="FF1A1A2E"/>
      <sz val="9"/>
    </font>
    <font>
      <name val="Arial"/>
      <b val="1"/>
      <color rgb="00FFFFFF"/>
      <sz val="9"/>
    </font>
    <font>
      <name val="Arial"/>
      <b val="1"/>
      <color rgb="00FFFFFF"/>
      <sz val="15"/>
    </font>
    <font>
      <name val="Arial"/>
      <b val="1"/>
      <color rgb="FF1A1A2E"/>
      <sz val="11"/>
    </font>
    <font>
      <name val="Arial"/>
      <color rgb="00E74C3C"/>
      <sz val="10"/>
    </font>
    <font>
      <name val="Arial"/>
      <color rgb="002ECC71"/>
      <sz val="10"/>
    </font>
    <font>
      <name val="Arial"/>
      <color rgb="FF333333"/>
      <sz val="10"/>
    </font>
    <font>
      <name val="Arial"/>
      <b val="1"/>
      <color rgb="FF1A1A2E"/>
      <sz val="10"/>
    </font>
    <font>
      <name val="Arial"/>
      <b val="1"/>
      <color rgb="00E94560"/>
      <sz val="22"/>
    </font>
    <font>
      <name val="Arial"/>
      <b val="1"/>
      <color rgb="00FFFFFF"/>
      <sz val="13"/>
    </font>
  </fonts>
  <fills count="15">
    <fill>
      <patternFill/>
    </fill>
    <fill>
      <patternFill patternType="gray125"/>
    </fill>
    <fill>
      <patternFill patternType="solid">
        <fgColor rgb="000F3460"/>
        <bgColor rgb="000F3460"/>
      </patternFill>
    </fill>
    <fill>
      <patternFill patternType="solid">
        <fgColor rgb="00F0F4FF"/>
        <bgColor rgb="00F0F4FF"/>
      </patternFill>
    </fill>
    <fill>
      <patternFill patternType="solid">
        <fgColor rgb="00FFFFFF"/>
        <bgColor rgb="00FFFFFF"/>
      </patternFill>
    </fill>
    <fill>
      <patternFill patternType="solid">
        <fgColor rgb="00E94560"/>
        <bgColor rgb="00E94560"/>
      </patternFill>
    </fill>
    <fill>
      <patternFill patternType="solid">
        <fgColor rgb="00F2F2F2"/>
        <bgColor rgb="00F2F2F2"/>
      </patternFill>
    </fill>
    <fill>
      <patternFill patternType="solid">
        <fgColor rgb="008B0000"/>
        <bgColor rgb="008B0000"/>
      </patternFill>
    </fill>
    <fill>
      <patternFill patternType="solid">
        <fgColor rgb="00E74C3C"/>
        <bgColor rgb="00E74C3C"/>
      </patternFill>
    </fill>
    <fill>
      <patternFill patternType="solid">
        <fgColor rgb="00E67E22"/>
        <bgColor rgb="00E67E22"/>
      </patternFill>
    </fill>
    <fill>
      <patternFill patternType="solid">
        <fgColor rgb="002ECC71"/>
        <bgColor rgb="002ECC71"/>
      </patternFill>
    </fill>
    <fill>
      <patternFill patternType="solid">
        <fgColor rgb="00F39C12"/>
        <bgColor rgb="00F39C12"/>
      </patternFill>
    </fill>
    <fill>
      <patternFill patternType="solid">
        <fgColor rgb="003498DB"/>
        <bgColor rgb="003498DB"/>
      </patternFill>
    </fill>
    <fill>
      <patternFill patternType="solid">
        <fgColor rgb="0016213E"/>
        <bgColor rgb="0016213E"/>
      </patternFill>
    </fill>
    <fill>
      <patternFill patternType="solid">
        <fgColor rgb="001A4A8A"/>
        <bgColor rgb="001A4A8A"/>
      </patternFill>
    </fill>
  </fills>
  <borders count="4">
    <border>
      <left/>
      <right/>
      <top/>
      <bottom/>
      <diagonal/>
    </border>
    <border>
      <left style="thin">
        <color rgb="00CCCCCC"/>
      </left>
      <right style="thin">
        <color rgb="00CCCCCC"/>
      </right>
      <top style="thin">
        <color rgb="00CCCCCC"/>
      </top>
      <bottom style="thin">
        <color rgb="00CCCCCC"/>
      </bottom>
    </border>
    <border>
      <left style="thin">
        <color rgb="00AA2233"/>
      </left>
      <right style="thin">
        <color rgb="00AA2233"/>
      </right>
      <top style="thin">
        <color rgb="00AA2233"/>
      </top>
      <bottom style="thin">
        <color rgb="00AA2233"/>
      </bottom>
    </border>
    <border>
      <left style="thin">
        <color rgb="00DDDDDD"/>
      </left>
      <right style="thin">
        <color rgb="00DDDDDD"/>
      </right>
      <top style="thin">
        <color rgb="00DDDDDD"/>
      </top>
      <bottom style="thin">
        <color rgb="00DDDDDD"/>
      </bottom>
    </border>
  </borders>
  <cellStyleXfs count="1">
    <xf numFmtId="0" fontId="0" fillId="0" borderId="0"/>
  </cellStyleXfs>
  <cellXfs count="37">
    <xf numFmtId="0" fontId="0" fillId="0" borderId="0" pivotButton="0" quotePrefix="0" xfId="0"/>
    <xf numFmtId="0" fontId="1" fillId="2" borderId="0" applyAlignment="1" pivotButton="0" quotePrefix="0" xfId="0">
      <alignment horizontal="center" vertical="center" wrapText="1"/>
    </xf>
    <xf numFmtId="0" fontId="2" fillId="2" borderId="0" applyAlignment="1" pivotButton="0" quotePrefix="0" xfId="0">
      <alignment horizontal="center" vertical="center" wrapText="1"/>
    </xf>
    <xf numFmtId="0" fontId="3" fillId="3" borderId="1" applyAlignment="1" pivotButton="0" quotePrefix="0" xfId="0">
      <alignment horizontal="left" vertical="center" wrapText="1"/>
    </xf>
    <xf numFmtId="0" fontId="4" fillId="4" borderId="1" applyAlignment="1" pivotButton="0" quotePrefix="0" xfId="0">
      <alignment horizontal="left" vertical="center" wrapText="1"/>
    </xf>
    <xf numFmtId="0" fontId="5" fillId="5" borderId="2" applyAlignment="1" pivotButton="0" quotePrefix="0" xfId="0">
      <alignment horizontal="center" vertical="center" wrapText="1"/>
    </xf>
    <xf numFmtId="0" fontId="6" fillId="6" borderId="3" applyAlignment="1" pivotButton="0" quotePrefix="0" xfId="0">
      <alignment horizontal="center" vertical="center" wrapText="1"/>
    </xf>
    <xf numFmtId="0" fontId="6" fillId="6" borderId="3" applyAlignment="1" pivotButton="0" quotePrefix="0" xfId="0">
      <alignment horizontal="left" vertical="center" wrapText="1"/>
    </xf>
    <xf numFmtId="0" fontId="7" fillId="7" borderId="3" applyAlignment="1" pivotButton="0" quotePrefix="0" xfId="0">
      <alignment horizontal="center" vertical="center" wrapText="1"/>
    </xf>
    <xf numFmtId="0" fontId="7" fillId="8" borderId="3" applyAlignment="1" pivotButton="0" quotePrefix="0" xfId="0">
      <alignment horizontal="left" vertical="center" wrapText="1"/>
    </xf>
    <xf numFmtId="0" fontId="6" fillId="4" borderId="3" applyAlignment="1" pivotButton="0" quotePrefix="0" xfId="0">
      <alignment horizontal="center" vertical="center" wrapText="1"/>
    </xf>
    <xf numFmtId="0" fontId="6" fillId="4" borderId="3" applyAlignment="1" pivotButton="0" quotePrefix="0" xfId="0">
      <alignment horizontal="left" vertical="center" wrapText="1"/>
    </xf>
    <xf numFmtId="0" fontId="7" fillId="8" borderId="3" applyAlignment="1" pivotButton="0" quotePrefix="0" xfId="0">
      <alignment horizontal="center" vertical="center" wrapText="1"/>
    </xf>
    <xf numFmtId="0" fontId="7" fillId="9" borderId="3" applyAlignment="1" pivotButton="0" quotePrefix="0" xfId="0">
      <alignment horizontal="center" vertical="center" wrapText="1"/>
    </xf>
    <xf numFmtId="0" fontId="7" fillId="10" borderId="3" applyAlignment="1" pivotButton="0" quotePrefix="0" xfId="0">
      <alignment horizontal="left" vertical="center" wrapText="1"/>
    </xf>
    <xf numFmtId="0" fontId="7" fillId="11" borderId="3" applyAlignment="1" pivotButton="0" quotePrefix="0" xfId="0">
      <alignment horizontal="center" vertical="center" wrapText="1"/>
    </xf>
    <xf numFmtId="0" fontId="7" fillId="12" borderId="3" applyAlignment="1" pivotButton="0" quotePrefix="0" xfId="0">
      <alignment horizontal="center" vertical="center" wrapText="1"/>
    </xf>
    <xf numFmtId="0" fontId="8" fillId="2" borderId="0" applyAlignment="1" pivotButton="0" quotePrefix="0" xfId="0">
      <alignment horizontal="center" vertical="center" wrapText="1"/>
    </xf>
    <xf numFmtId="0" fontId="5" fillId="7" borderId="1" applyAlignment="1" pivotButton="0" quotePrefix="0" xfId="0">
      <alignment horizontal="center" vertical="center" wrapText="1"/>
    </xf>
    <xf numFmtId="0" fontId="9" fillId="6" borderId="1" applyAlignment="1" pivotButton="0" quotePrefix="0" xfId="0">
      <alignment horizontal="center" vertical="center" wrapText="1"/>
    </xf>
    <xf numFmtId="0" fontId="10" fillId="6" borderId="1" applyAlignment="1" pivotButton="0" quotePrefix="0" xfId="0">
      <alignment horizontal="center" vertical="center" wrapText="1"/>
    </xf>
    <xf numFmtId="0" fontId="11" fillId="6" borderId="1" applyAlignment="1" pivotButton="0" quotePrefix="0" xfId="0">
      <alignment horizontal="center" vertical="center" wrapText="1"/>
    </xf>
    <xf numFmtId="164" fontId="12" fillId="6" borderId="1" applyAlignment="1" pivotButton="0" quotePrefix="0" xfId="0">
      <alignment horizontal="center" vertical="center" wrapText="1"/>
    </xf>
    <xf numFmtId="0" fontId="13" fillId="6" borderId="1" applyAlignment="1" pivotButton="0" quotePrefix="0" xfId="0">
      <alignment horizontal="center" vertical="center" wrapText="1"/>
    </xf>
    <xf numFmtId="0" fontId="5" fillId="8" borderId="1" applyAlignment="1" pivotButton="0" quotePrefix="0" xfId="0">
      <alignment horizontal="center" vertical="center" wrapText="1"/>
    </xf>
    <xf numFmtId="0" fontId="5" fillId="9" borderId="1" applyAlignment="1" pivotButton="0" quotePrefix="0" xfId="0">
      <alignment horizontal="center" vertical="center" wrapText="1"/>
    </xf>
    <xf numFmtId="0" fontId="5" fillId="11" borderId="1" applyAlignment="1" pivotButton="0" quotePrefix="0" xfId="0">
      <alignment horizontal="center" vertical="center" wrapText="1"/>
    </xf>
    <xf numFmtId="0" fontId="5" fillId="12" borderId="1" applyAlignment="1" pivotButton="0" quotePrefix="0" xfId="0">
      <alignment horizontal="center" vertical="center" wrapText="1"/>
    </xf>
    <xf numFmtId="0" fontId="5" fillId="13" borderId="1" applyAlignment="1" pivotButton="0" quotePrefix="0" xfId="0">
      <alignment horizontal="center" vertical="center" wrapText="1"/>
    </xf>
    <xf numFmtId="0" fontId="2" fillId="13" borderId="1" applyAlignment="1" pivotButton="0" quotePrefix="0" xfId="0">
      <alignment horizontal="center" vertical="center" wrapText="1"/>
    </xf>
    <xf numFmtId="164" fontId="2" fillId="13" borderId="1" applyAlignment="1" pivotButton="0" quotePrefix="0" xfId="0">
      <alignment horizontal="center" vertical="center" wrapText="1"/>
    </xf>
    <xf numFmtId="0" fontId="14" fillId="13" borderId="2" applyAlignment="1" pivotButton="0" quotePrefix="0" xfId="0">
      <alignment horizontal="center" vertical="center" wrapText="1"/>
    </xf>
    <xf numFmtId="0" fontId="15" fillId="2" borderId="2" applyAlignment="1" pivotButton="0" quotePrefix="0" xfId="0">
      <alignment horizontal="center" vertical="center" wrapText="1"/>
    </xf>
    <xf numFmtId="0" fontId="2" fillId="2" borderId="0" applyAlignment="1" pivotButton="0" quotePrefix="0" xfId="0">
      <alignment horizontal="left" vertical="center" wrapText="1"/>
    </xf>
    <xf numFmtId="0" fontId="4" fillId="6" borderId="1" applyAlignment="1" pivotButton="0" quotePrefix="0" xfId="0">
      <alignment horizontal="left" vertical="top" wrapText="1"/>
    </xf>
    <xf numFmtId="0" fontId="2" fillId="14" borderId="0" applyAlignment="1" pivotButton="0" quotePrefix="0" xfId="0">
      <alignment horizontal="left" vertical="center" wrapText="1"/>
    </xf>
    <xf numFmtId="0" fontId="4" fillId="4" borderId="1" applyAlignment="1" pivotButton="0" quotePrefix="0" xfId="0">
      <alignment horizontal="left"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Findings by Severity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'📊 Summary'!C4</f>
            </strRef>
          </tx>
          <spPr>
            <a:solidFill xmlns:a="http://schemas.openxmlformats.org/drawingml/2006/main">
              <a:srgbClr val="E94560"/>
            </a:solidFill>
            <a:ln xmlns:a="http://schemas.openxmlformats.org/drawingml/2006/main">
              <a:prstDash val="solid"/>
            </a:ln>
          </spPr>
          <cat>
            <numRef>
              <f>'📊 Summary'!$B$5:$B$9</f>
            </numRef>
          </cat>
          <val>
            <numRef>
              <f>'📊 Summary'!$C$5:$C$9</f>
            </numRef>
          </val>
        </ser>
        <ser>
          <idx val="1"/>
          <order val="1"/>
          <tx>
            <strRef>
              <f>'📊 Summary'!D4</f>
            </strRef>
          </tx>
          <spPr>
            <a:solidFill xmlns:a="http://schemas.openxmlformats.org/drawingml/2006/main">
              <a:srgbClr val="2ECC71"/>
            </a:solidFill>
            <a:ln xmlns:a="http://schemas.openxmlformats.org/drawingml/2006/main">
              <a:prstDash val="solid"/>
            </a:ln>
          </spPr>
          <cat>
            <numRef>
              <f>'📊 Summary'!$B$5:$B$9</f>
            </numRef>
          </cat>
          <val>
            <numRef>
              <f>'📊 Summary'!$D$5:$D$9</f>
            </numRef>
          </val>
        </ser>
        <ser>
          <idx val="2"/>
          <order val="2"/>
          <tx>
            <strRef>
              <f>'📊 Summary'!E4</f>
            </strRef>
          </tx>
          <spPr>
            <a:ln xmlns:a="http://schemas.openxmlformats.org/drawingml/2006/main">
              <a:prstDash val="solid"/>
            </a:ln>
          </spPr>
          <cat>
            <numRef>
              <f>'📊 Summary'!$B$5:$B$9</f>
            </numRef>
          </cat>
          <val>
            <numRef>
              <f>'📊 Summary'!$E$5:$E$9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Severity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Severity Distribution</a:t>
            </a:r>
          </a:p>
        </rich>
      </tx>
    </title>
    <plotArea>
      <pieChart>
        <varyColors val="1"/>
        <ser>
          <idx val="0"/>
          <order val="0"/>
          <tx>
            <strRef>
              <f>'📊 Summary'!C4</f>
            </strRef>
          </tx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8B0000"/>
              </a:solidFill>
              <a:ln xmlns:a="http://schemas.openxmlformats.org/drawingml/2006/main"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74C3C"/>
              </a:solidFill>
              <a:ln xmlns:a="http://schemas.openxmlformats.org/drawingml/2006/main">
                <a:prstDash val="solid"/>
              </a:ln>
            </spPr>
          </dPt>
          <dPt>
            <idx val="2"/>
            <spPr>
              <a:solidFill xmlns:a="http://schemas.openxmlformats.org/drawingml/2006/main">
                <a:srgbClr val="E67E22"/>
              </a:solidFill>
              <a:ln xmlns:a="http://schemas.openxmlformats.org/drawingml/2006/main">
                <a:prstDash val="solid"/>
              </a:ln>
            </spPr>
          </dPt>
          <dPt>
            <idx val="3"/>
            <spPr>
              <a:solidFill xmlns:a="http://schemas.openxmlformats.org/drawingml/2006/main">
                <a:srgbClr val="F39C12"/>
              </a:solidFill>
              <a:ln xmlns:a="http://schemas.openxmlformats.org/drawingml/2006/main">
                <a:prstDash val="solid"/>
              </a:ln>
            </spPr>
          </dPt>
          <dPt>
            <idx val="4"/>
            <spPr>
              <a:solidFill xmlns:a="http://schemas.openxmlformats.org/drawingml/2006/main">
                <a:srgbClr val="3498DB"/>
              </a:solidFill>
              <a:ln xmlns:a="http://schemas.openxmlformats.org/drawingml/2006/main">
                <a:prstDash val="solid"/>
              </a:ln>
            </spPr>
          </dPt>
          <dLbls>
            <showLegendKey val="0"/>
            <showVal val="0"/>
            <showCatName val="1"/>
            <showPercent val="1"/>
          </dLbls>
          <cat>
            <numRef>
              <f>'📊 Summary'!$B$5:$B$9</f>
            </numRef>
          </cat>
          <val>
            <numRef>
              <f>'📊 Summary'!$C$5:$C$9</f>
            </numRef>
          </val>
        </ser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drawing1.xml><?xml version="1.0" encoding="utf-8"?>
<wsDr xmlns="http://schemas.openxmlformats.org/drawingml/2006/spreadsheetDrawing">
  <oneCellAnchor>
    <from>
      <col>1</col>
      <colOff>0</colOff>
      <row>15</row>
      <rowOff>0</rowOff>
    </from>
    <ext cx="6480000" cy="432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4</col>
      <colOff>0</colOff>
      <row>15</row>
      <rowOff>0</rowOff>
    </from>
    <ext cx="5400000" cy="432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B1:I24"/>
  <sheetViews>
    <sheetView showGridLines="0" workbookViewId="0">
      <selection activeCell="A1" sqref="A1"/>
    </sheetView>
  </sheetViews>
  <sheetFormatPr baseColWidth="8" defaultRowHeight="15"/>
  <cols>
    <col width="4" customWidth="1" min="1" max="1"/>
    <col width="5" customWidth="1" min="2" max="2"/>
    <col width="28" customWidth="1" min="3" max="3"/>
    <col width="40" customWidth="1" min="4" max="4"/>
    <col width="13" customWidth="1" min="5" max="5"/>
    <col width="11" customWidth="1" min="6" max="6"/>
    <col width="13" customWidth="1" min="7" max="7"/>
    <col width="13" customWidth="1" min="8" max="8"/>
    <col width="35" customWidth="1" min="9" max="9"/>
  </cols>
  <sheetData>
    <row r="1" ht="40" customHeight="1">
      <c r="B1" s="1" t="inlineStr">
        <is>
          <t>🔒  WEB APPLICATION PENETRATION TEST — FINDING GENERATOR</t>
        </is>
      </c>
    </row>
    <row r="3">
      <c r="B3" s="2" t="inlineStr">
        <is>
          <t>ENGAGEMENT INFORMATION</t>
        </is>
      </c>
    </row>
    <row r="4">
      <c r="B4" s="3" t="inlineStr">
        <is>
          <t>Target Application:</t>
        </is>
      </c>
      <c r="C4" s="4" t="inlineStr">
        <is>
          <t>https://target.example.com</t>
        </is>
      </c>
    </row>
    <row r="5">
      <c r="B5" s="3" t="inlineStr">
        <is>
          <t>Tester Name:</t>
        </is>
      </c>
      <c r="C5" s="4" t="inlineStr">
        <is>
          <t>Tester Name</t>
        </is>
      </c>
    </row>
    <row r="6">
      <c r="B6" s="3" t="inlineStr">
        <is>
          <t>Test Date:</t>
        </is>
      </c>
      <c r="C6" s="4" t="inlineStr">
        <is>
          <t>2024-01-15</t>
        </is>
      </c>
    </row>
    <row r="7">
      <c r="B7" s="3" t="inlineStr">
        <is>
          <t>Engagement ID:</t>
        </is>
      </c>
      <c r="C7" s="4" t="inlineStr">
        <is>
          <t>PT-2024-001</t>
        </is>
      </c>
    </row>
    <row r="8">
      <c r="B8" s="3" t="inlineStr">
        <is>
          <t>Scope:</t>
        </is>
      </c>
      <c r="C8" s="4" t="inlineStr">
        <is>
          <t>All unauthenticated &amp; authenticated endpoints</t>
        </is>
      </c>
    </row>
    <row r="11" ht="30" customHeight="1">
      <c r="B11" s="2" t="inlineStr">
        <is>
          <t>FINDINGS ENTRY TABLE</t>
        </is>
      </c>
    </row>
    <row r="12" ht="28" customHeight="1">
      <c r="B12" s="5" t="inlineStr">
        <is>
          <t>#</t>
        </is>
      </c>
      <c r="C12" s="5" t="inlineStr">
        <is>
          <t>Finding Title</t>
        </is>
      </c>
      <c r="D12" s="5" t="inlineStr">
        <is>
          <t>Description / Evidence</t>
        </is>
      </c>
      <c r="E12" s="5" t="inlineStr">
        <is>
          <t>Severity</t>
        </is>
      </c>
      <c r="F12" s="5" t="inlineStr">
        <is>
          <t>CVSS Score</t>
        </is>
      </c>
      <c r="G12" s="5" t="inlineStr">
        <is>
          <t>CWE ID</t>
        </is>
      </c>
      <c r="H12" s="5" t="inlineStr">
        <is>
          <t>Status</t>
        </is>
      </c>
      <c r="I12" s="5" t="inlineStr">
        <is>
          <t>Recommendation</t>
        </is>
      </c>
    </row>
    <row r="13" ht="48" customHeight="1">
      <c r="B13" s="6" t="n">
        <v>1</v>
      </c>
      <c r="C13" s="7" t="inlineStr">
        <is>
          <t>SQL Injection</t>
        </is>
      </c>
      <c r="D13" s="7" t="inlineStr">
        <is>
          <t>Login form /login POST param 'username' is injectable. PoC: ' OR '1'='1</t>
        </is>
      </c>
      <c r="E13" s="8" t="inlineStr">
        <is>
          <t>Critical</t>
        </is>
      </c>
      <c r="F13" s="6" t="n">
        <v>9.800000000000001</v>
      </c>
      <c r="G13" s="6" t="inlineStr">
        <is>
          <t>CWE-89</t>
        </is>
      </c>
      <c r="H13" s="9" t="inlineStr">
        <is>
          <t>Open</t>
        </is>
      </c>
      <c r="I13" s="7" t="inlineStr">
        <is>
          <t>Parameterize all SQL queries. Use prepared statements or ORM.</t>
        </is>
      </c>
    </row>
    <row r="14" ht="48" customHeight="1">
      <c r="B14" s="10" t="n">
        <v>2</v>
      </c>
      <c r="C14" s="11" t="inlineStr">
        <is>
          <t>Stored XSS</t>
        </is>
      </c>
      <c r="D14" s="11" t="inlineStr">
        <is>
          <t>Comment field in /profile stores unsanitized JS. PoC: &lt;script&gt;alert(1)&lt;/script&gt;</t>
        </is>
      </c>
      <c r="E14" s="12" t="inlineStr">
        <is>
          <t>High</t>
        </is>
      </c>
      <c r="F14" s="10" t="n">
        <v>8.199999999999999</v>
      </c>
      <c r="G14" s="10" t="inlineStr">
        <is>
          <t>CWE-79</t>
        </is>
      </c>
      <c r="H14" s="9" t="inlineStr">
        <is>
          <t>Open</t>
        </is>
      </c>
      <c r="I14" s="11" t="inlineStr">
        <is>
          <t>Implement output encoding. Apply Content Security Policy header.</t>
        </is>
      </c>
    </row>
    <row r="15" ht="48" customHeight="1">
      <c r="B15" s="6" t="n">
        <v>3</v>
      </c>
      <c r="C15" s="7" t="inlineStr">
        <is>
          <t>Broken Authentication</t>
        </is>
      </c>
      <c r="D15" s="7" t="inlineStr">
        <is>
          <t>Session tokens do not expire after logout. Old tokens remain valid indefinitely.</t>
        </is>
      </c>
      <c r="E15" s="12" t="inlineStr">
        <is>
          <t>High</t>
        </is>
      </c>
      <c r="F15" s="6" t="n">
        <v>7.5</v>
      </c>
      <c r="G15" s="6" t="inlineStr">
        <is>
          <t>CWE-287</t>
        </is>
      </c>
      <c r="H15" s="9" t="inlineStr">
        <is>
          <t>Open</t>
        </is>
      </c>
      <c r="I15" s="7" t="inlineStr">
        <is>
          <t>Invalidate session server-side on logout. Set session expiry.</t>
        </is>
      </c>
    </row>
    <row r="16" ht="48" customHeight="1">
      <c r="B16" s="10" t="n">
        <v>4</v>
      </c>
      <c r="C16" s="11" t="inlineStr">
        <is>
          <t>IDOR – User Data</t>
        </is>
      </c>
      <c r="D16" s="11" t="inlineStr">
        <is>
          <t>GET /api/user?id=123 returns other users' PII by changing ID parameter.</t>
        </is>
      </c>
      <c r="E16" s="12" t="inlineStr">
        <is>
          <t>High</t>
        </is>
      </c>
      <c r="F16" s="10" t="n">
        <v>7.1</v>
      </c>
      <c r="G16" s="10" t="inlineStr">
        <is>
          <t>CWE-639</t>
        </is>
      </c>
      <c r="H16" s="9" t="inlineStr">
        <is>
          <t>Open</t>
        </is>
      </c>
      <c r="I16" s="11" t="inlineStr">
        <is>
          <t>Enforce object-level authorization checks for every data request.</t>
        </is>
      </c>
    </row>
    <row r="17" ht="48" customHeight="1">
      <c r="B17" s="6" t="n">
        <v>5</v>
      </c>
      <c r="C17" s="7" t="inlineStr">
        <is>
          <t>Open Redirect</t>
        </is>
      </c>
      <c r="D17" s="7" t="inlineStr">
        <is>
          <t>Redirect param ?next= not validated, allows phishing via https://target.com/?next=evil.com</t>
        </is>
      </c>
      <c r="E17" s="13" t="inlineStr">
        <is>
          <t>Medium</t>
        </is>
      </c>
      <c r="F17" s="6" t="n">
        <v>5.4</v>
      </c>
      <c r="G17" s="6" t="inlineStr">
        <is>
          <t>CWE-601</t>
        </is>
      </c>
      <c r="H17" s="9" t="inlineStr">
        <is>
          <t>Open</t>
        </is>
      </c>
      <c r="I17" s="7" t="inlineStr">
        <is>
          <t>Whitelist allowed redirect destinations. Reject external URLs.</t>
        </is>
      </c>
    </row>
    <row r="18" ht="48" customHeight="1">
      <c r="B18" s="10" t="n">
        <v>6</v>
      </c>
      <c r="C18" s="11" t="inlineStr">
        <is>
          <t>Missing HSTS Header</t>
        </is>
      </c>
      <c r="D18" s="11" t="inlineStr">
        <is>
          <t>HTTPS responses missing Strict-Transport-Security header — downgrade possible.</t>
        </is>
      </c>
      <c r="E18" s="13" t="inlineStr">
        <is>
          <t>Medium</t>
        </is>
      </c>
      <c r="F18" s="10" t="n">
        <v>4.3</v>
      </c>
      <c r="G18" s="10" t="inlineStr">
        <is>
          <t>CWE-523</t>
        </is>
      </c>
      <c r="H18" s="14" t="inlineStr">
        <is>
          <t>Remediated</t>
        </is>
      </c>
      <c r="I18" s="11" t="inlineStr">
        <is>
          <t>Add: Strict-Transport-Security: max-age=31536000; includeSubDomains</t>
        </is>
      </c>
    </row>
    <row r="19" ht="48" customHeight="1">
      <c r="B19" s="6" t="n">
        <v>7</v>
      </c>
      <c r="C19" s="7" t="inlineStr">
        <is>
          <t>Verbose Error Messages</t>
        </is>
      </c>
      <c r="D19" s="7" t="inlineStr">
        <is>
          <t>Stack traces returned to client on 500 errors exposing framework version.</t>
        </is>
      </c>
      <c r="E19" s="13" t="inlineStr">
        <is>
          <t>Medium</t>
        </is>
      </c>
      <c r="F19" s="6" t="n">
        <v>4</v>
      </c>
      <c r="G19" s="6" t="inlineStr">
        <is>
          <t>CWE-209</t>
        </is>
      </c>
      <c r="H19" s="9" t="inlineStr">
        <is>
          <t>Open</t>
        </is>
      </c>
      <c r="I19" s="7" t="inlineStr">
        <is>
          <t>Suppress stack traces in production. Log server-side only.</t>
        </is>
      </c>
    </row>
    <row r="20" ht="48" customHeight="1">
      <c r="B20" s="10" t="n">
        <v>8</v>
      </c>
      <c r="C20" s="11" t="inlineStr">
        <is>
          <t>Cookie Missing Secure Flag</t>
        </is>
      </c>
      <c r="D20" s="11" t="inlineStr">
        <is>
          <t>Session cookie set without Secure and HttpOnly flags.</t>
        </is>
      </c>
      <c r="E20" s="15" t="inlineStr">
        <is>
          <t>Low</t>
        </is>
      </c>
      <c r="F20" s="10" t="n">
        <v>3.5</v>
      </c>
      <c r="G20" s="10" t="inlineStr">
        <is>
          <t>CWE-614</t>
        </is>
      </c>
      <c r="H20" s="9" t="inlineStr">
        <is>
          <t>Open</t>
        </is>
      </c>
      <c r="I20" s="11" t="inlineStr">
        <is>
          <t>Set cookies with Secure; HttpOnly; SameSite=Strict attributes.</t>
        </is>
      </c>
    </row>
    <row r="21" ht="48" customHeight="1">
      <c r="B21" s="6" t="n">
        <v>9</v>
      </c>
      <c r="C21" s="7" t="inlineStr">
        <is>
          <t>Directory Listing Enabled</t>
        </is>
      </c>
      <c r="D21" s="7" t="inlineStr">
        <is>
          <t>/uploads/ returns directory index revealing uploaded file names.</t>
        </is>
      </c>
      <c r="E21" s="15" t="inlineStr">
        <is>
          <t>Low</t>
        </is>
      </c>
      <c r="F21" s="6" t="n">
        <v>2.9</v>
      </c>
      <c r="G21" s="6" t="inlineStr">
        <is>
          <t>CWE-548</t>
        </is>
      </c>
      <c r="H21" s="14" t="inlineStr">
        <is>
          <t>Remediated</t>
        </is>
      </c>
      <c r="I21" s="7" t="inlineStr">
        <is>
          <t>Disable directory listing in web server config.</t>
        </is>
      </c>
    </row>
    <row r="22" ht="48" customHeight="1">
      <c r="B22" s="10" t="n">
        <v>10</v>
      </c>
      <c r="C22" s="11" t="inlineStr">
        <is>
          <t>TLS 1.0 Supported</t>
        </is>
      </c>
      <c r="D22" s="11" t="inlineStr">
        <is>
          <t>Server still accepts TLS 1.0 connections, deprecated since 2020.</t>
        </is>
      </c>
      <c r="E22" s="16" t="inlineStr">
        <is>
          <t>Info</t>
        </is>
      </c>
      <c r="F22" s="10" t="n">
        <v>0</v>
      </c>
      <c r="G22" s="10" t="inlineStr">
        <is>
          <t>CWE-326</t>
        </is>
      </c>
      <c r="H22" s="9" t="inlineStr">
        <is>
          <t>Open</t>
        </is>
      </c>
      <c r="I22" s="11" t="inlineStr">
        <is>
          <t>Disable TLS 1.0 and 1.1. Support only TLS 1.2+ with strong ciphers.</t>
        </is>
      </c>
    </row>
    <row r="24" ht="36" customHeight="1">
      <c r="C24" s="5" t="inlineStr">
        <is>
          <t>▶  CLICK BUTTON BELOW OR RUN MACRO: GeneratePentestReport</t>
        </is>
      </c>
    </row>
  </sheetData>
  <mergeCells count="9">
    <mergeCell ref="C6:H6"/>
    <mergeCell ref="B1:H1"/>
    <mergeCell ref="C5:H5"/>
    <mergeCell ref="C8:H8"/>
    <mergeCell ref="C4:H4"/>
    <mergeCell ref="B11:H11"/>
    <mergeCell ref="B3:H3"/>
    <mergeCell ref="C7:H7"/>
    <mergeCell ref="C24:E24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1:G13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4" customWidth="1" min="2" max="2"/>
    <col width="14" customWidth="1" min="3" max="3"/>
    <col width="14" customWidth="1" min="4" max="4"/>
    <col width="14" customWidth="1" min="5" max="5"/>
    <col width="14" customWidth="1" min="6" max="6"/>
    <col width="14" customWidth="1" min="7" max="7"/>
    <col width="3" customWidth="1" min="8" max="8"/>
  </cols>
  <sheetData>
    <row r="1" ht="42" customHeight="1">
      <c r="B1" s="17" t="inlineStr">
        <is>
          <t>PENTEST FINDINGS — EXECUTIVE SUMMARY</t>
        </is>
      </c>
    </row>
    <row r="3" ht="26" customHeight="1">
      <c r="B3" s="2" t="inlineStr">
        <is>
          <t>FINDINGS BY SEVERITY</t>
        </is>
      </c>
    </row>
    <row r="4">
      <c r="B4" s="5" t="inlineStr">
        <is>
          <t>Severity</t>
        </is>
      </c>
      <c r="C4" s="5" t="inlineStr">
        <is>
          <t>Count</t>
        </is>
      </c>
      <c r="D4" s="5" t="inlineStr">
        <is>
          <t>Open</t>
        </is>
      </c>
      <c r="E4" s="5" t="inlineStr">
        <is>
          <t>Remediated</t>
        </is>
      </c>
      <c r="F4" s="5" t="inlineStr">
        <is>
          <t>% of Total</t>
        </is>
      </c>
      <c r="G4" s="5" t="inlineStr">
        <is>
          <t>Risk Score</t>
        </is>
      </c>
    </row>
    <row r="5" ht="24" customHeight="1">
      <c r="B5" s="18" t="inlineStr">
        <is>
          <t>Critical</t>
        </is>
      </c>
      <c r="C5" s="19">
        <f>COUNTIF('📋 Input Form'!E:E,B5)</f>
        <v/>
      </c>
      <c r="D5" s="20">
        <f>COUNTIFS('📋 Input Form'!E:E,B5,'📋 Input Form'!H:H,"Open")</f>
        <v/>
      </c>
      <c r="E5" s="21">
        <f>C5-D5</f>
        <v/>
      </c>
      <c r="F5" s="22">
        <f>IF(C10=0,0,C5/C10)</f>
        <v/>
      </c>
      <c r="G5" s="23">
        <f>C5*10</f>
        <v/>
      </c>
    </row>
    <row r="6" ht="24" customHeight="1">
      <c r="B6" s="24" t="inlineStr">
        <is>
          <t>High</t>
        </is>
      </c>
      <c r="C6" s="19">
        <f>COUNTIF('📋 Input Form'!E:E,B6)</f>
        <v/>
      </c>
      <c r="D6" s="20">
        <f>COUNTIFS('📋 Input Form'!E:E,B6,'📋 Input Form'!H:H,"Open")</f>
        <v/>
      </c>
      <c r="E6" s="21">
        <f>C6-D6</f>
        <v/>
      </c>
      <c r="F6" s="22">
        <f>IF(C10=0,0,C6/C10)</f>
        <v/>
      </c>
      <c r="G6" s="23">
        <f>C6*7</f>
        <v/>
      </c>
    </row>
    <row r="7" ht="24" customHeight="1">
      <c r="B7" s="25" t="inlineStr">
        <is>
          <t>Medium</t>
        </is>
      </c>
      <c r="C7" s="19">
        <f>COUNTIF('📋 Input Form'!E:E,B7)</f>
        <v/>
      </c>
      <c r="D7" s="20">
        <f>COUNTIFS('📋 Input Form'!E:E,B7,'📋 Input Form'!H:H,"Open")</f>
        <v/>
      </c>
      <c r="E7" s="21">
        <f>C7-D7</f>
        <v/>
      </c>
      <c r="F7" s="22">
        <f>IF(C10=0,0,C7/C10)</f>
        <v/>
      </c>
      <c r="G7" s="23">
        <f>C7*4</f>
        <v/>
      </c>
    </row>
    <row r="8" ht="24" customHeight="1">
      <c r="B8" s="26" t="inlineStr">
        <is>
          <t>Low</t>
        </is>
      </c>
      <c r="C8" s="19">
        <f>COUNTIF('📋 Input Form'!E:E,B8)</f>
        <v/>
      </c>
      <c r="D8" s="20">
        <f>COUNTIFS('📋 Input Form'!E:E,B8,'📋 Input Form'!H:H,"Open")</f>
        <v/>
      </c>
      <c r="E8" s="21">
        <f>C8-D8</f>
        <v/>
      </c>
      <c r="F8" s="22">
        <f>IF(C10=0,0,C8/C10)</f>
        <v/>
      </c>
      <c r="G8" s="23">
        <f>C8*2</f>
        <v/>
      </c>
    </row>
    <row r="9" ht="24" customHeight="1">
      <c r="B9" s="27" t="inlineStr">
        <is>
          <t>Info</t>
        </is>
      </c>
      <c r="C9" s="19">
        <f>COUNTIF('📋 Input Form'!E:E,B9)</f>
        <v/>
      </c>
      <c r="D9" s="20">
        <f>COUNTIFS('📋 Input Form'!E:E,B9,'📋 Input Form'!H:H,"Open")</f>
        <v/>
      </c>
      <c r="E9" s="21">
        <f>C9-D9</f>
        <v/>
      </c>
      <c r="F9" s="22">
        <f>IF(C10=0,0,C9/C10)</f>
        <v/>
      </c>
      <c r="G9" s="23">
        <f>C9*1</f>
        <v/>
      </c>
    </row>
    <row r="10" ht="26" customHeight="1">
      <c r="B10" s="28" t="inlineStr">
        <is>
          <t>TOTAL</t>
        </is>
      </c>
      <c r="C10" s="29">
        <f>SUM(C5:C9)</f>
        <v/>
      </c>
      <c r="D10" s="29">
        <f>SUM(D5:D9)</f>
        <v/>
      </c>
      <c r="E10" s="29">
        <f>SUM(E5:E9)</f>
        <v/>
      </c>
      <c r="F10" s="30">
        <f>SUM(F5:F9)</f>
        <v/>
      </c>
      <c r="G10" s="29">
        <f>SUM(G5:G9)</f>
        <v/>
      </c>
    </row>
    <row r="12">
      <c r="B12" s="2" t="inlineStr">
        <is>
          <t>OVERALL RISK SCORE</t>
        </is>
      </c>
    </row>
    <row r="13" ht="36" customHeight="1">
      <c r="B13" s="31">
        <f>G10</f>
        <v/>
      </c>
      <c r="E13" s="32">
        <f>IF(G10&gt;=50,"🔴 CRITICAL RISK",IF(G10&gt;=30,"🟠 HIGH RISK",IF(G10&gt;=15,"🟡 MEDIUM RISK","🟢 LOW RISK")))</f>
        <v/>
      </c>
    </row>
  </sheetData>
  <mergeCells count="5">
    <mergeCell ref="B3:G3"/>
    <mergeCell ref="E13:G13"/>
    <mergeCell ref="B1:G1"/>
    <mergeCell ref="B13:D13"/>
    <mergeCell ref="B12:G12"/>
  </mergeCells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B1:H13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18" customWidth="1" min="2" max="2"/>
    <col width="50" customWidth="1" min="3" max="3"/>
    <col width="14" customWidth="1" min="4" max="4"/>
    <col width="10" customWidth="1" min="5" max="5"/>
    <col width="10" customWidth="1" min="6" max="6"/>
    <col width="10" customWidth="1" min="7" max="7"/>
    <col width="40" customWidth="1" min="8" max="8"/>
    <col width="3" customWidth="1" min="9" max="9"/>
  </cols>
  <sheetData>
    <row r="1" ht="42" customHeight="1">
      <c r="B1" s="17" t="inlineStr">
        <is>
          <t>DETAILED FINDINGS REPORT</t>
        </is>
      </c>
    </row>
    <row r="3" ht="28" customHeight="1">
      <c r="B3" s="5" t="inlineStr">
        <is>
          <t>Finding Title</t>
        </is>
      </c>
      <c r="C3" s="5" t="inlineStr">
        <is>
          <t>Description / Evidence</t>
        </is>
      </c>
      <c r="D3" s="5" t="inlineStr">
        <is>
          <t>Severity</t>
        </is>
      </c>
      <c r="E3" s="5" t="inlineStr">
        <is>
          <t>CVSS</t>
        </is>
      </c>
      <c r="F3" s="5" t="inlineStr">
        <is>
          <t>CWE ID</t>
        </is>
      </c>
      <c r="G3" s="5" t="inlineStr">
        <is>
          <t>Status</t>
        </is>
      </c>
      <c r="H3" s="5" t="inlineStr">
        <is>
          <t>Recommendation</t>
        </is>
      </c>
    </row>
    <row r="4" ht="48" customHeight="1">
      <c r="B4" s="7">
        <f>'📋 Input Form'!C18</f>
        <v/>
      </c>
      <c r="C4" s="7">
        <f>'📋 Input Form'!D18</f>
        <v/>
      </c>
      <c r="D4" s="6">
        <f>'📋 Input Form'!E18</f>
        <v/>
      </c>
      <c r="E4" s="6">
        <f>'📋 Input Form'!F18</f>
        <v/>
      </c>
      <c r="F4" s="6">
        <f>'📋 Input Form'!G18</f>
        <v/>
      </c>
      <c r="G4" s="6">
        <f>'📋 Input Form'!H18</f>
        <v/>
      </c>
      <c r="H4" s="7">
        <f>'📋 Input Form'!I18</f>
        <v/>
      </c>
    </row>
    <row r="5" ht="48" customHeight="1">
      <c r="B5" s="11">
        <f>'📋 Input Form'!C19</f>
        <v/>
      </c>
      <c r="C5" s="11">
        <f>'📋 Input Form'!D19</f>
        <v/>
      </c>
      <c r="D5" s="10">
        <f>'📋 Input Form'!E19</f>
        <v/>
      </c>
      <c r="E5" s="10">
        <f>'📋 Input Form'!F19</f>
        <v/>
      </c>
      <c r="F5" s="10">
        <f>'📋 Input Form'!G19</f>
        <v/>
      </c>
      <c r="G5" s="10">
        <f>'📋 Input Form'!H19</f>
        <v/>
      </c>
      <c r="H5" s="11">
        <f>'📋 Input Form'!I19</f>
        <v/>
      </c>
    </row>
    <row r="6" ht="48" customHeight="1">
      <c r="B6" s="7">
        <f>'📋 Input Form'!C20</f>
        <v/>
      </c>
      <c r="C6" s="7">
        <f>'📋 Input Form'!D20</f>
        <v/>
      </c>
      <c r="D6" s="6">
        <f>'📋 Input Form'!E20</f>
        <v/>
      </c>
      <c r="E6" s="6">
        <f>'📋 Input Form'!F20</f>
        <v/>
      </c>
      <c r="F6" s="6">
        <f>'📋 Input Form'!G20</f>
        <v/>
      </c>
      <c r="G6" s="6">
        <f>'📋 Input Form'!H20</f>
        <v/>
      </c>
      <c r="H6" s="7">
        <f>'📋 Input Form'!I20</f>
        <v/>
      </c>
    </row>
    <row r="7" ht="48" customHeight="1">
      <c r="B7" s="11">
        <f>'📋 Input Form'!C21</f>
        <v/>
      </c>
      <c r="C7" s="11">
        <f>'📋 Input Form'!D21</f>
        <v/>
      </c>
      <c r="D7" s="10">
        <f>'📋 Input Form'!E21</f>
        <v/>
      </c>
      <c r="E7" s="10">
        <f>'📋 Input Form'!F21</f>
        <v/>
      </c>
      <c r="F7" s="10">
        <f>'📋 Input Form'!G21</f>
        <v/>
      </c>
      <c r="G7" s="10">
        <f>'📋 Input Form'!H21</f>
        <v/>
      </c>
      <c r="H7" s="11">
        <f>'📋 Input Form'!I21</f>
        <v/>
      </c>
    </row>
    <row r="8" ht="48" customHeight="1">
      <c r="B8" s="7">
        <f>'📋 Input Form'!C22</f>
        <v/>
      </c>
      <c r="C8" s="7">
        <f>'📋 Input Form'!D22</f>
        <v/>
      </c>
      <c r="D8" s="6">
        <f>'📋 Input Form'!E22</f>
        <v/>
      </c>
      <c r="E8" s="6">
        <f>'📋 Input Form'!F22</f>
        <v/>
      </c>
      <c r="F8" s="6">
        <f>'📋 Input Form'!G22</f>
        <v/>
      </c>
      <c r="G8" s="6">
        <f>'📋 Input Form'!H22</f>
        <v/>
      </c>
      <c r="H8" s="7">
        <f>'📋 Input Form'!I22</f>
        <v/>
      </c>
    </row>
    <row r="9" ht="48" customHeight="1">
      <c r="B9" s="11">
        <f>'📋 Input Form'!C23</f>
        <v/>
      </c>
      <c r="C9" s="11">
        <f>'📋 Input Form'!D23</f>
        <v/>
      </c>
      <c r="D9" s="10">
        <f>'📋 Input Form'!E23</f>
        <v/>
      </c>
      <c r="E9" s="10">
        <f>'📋 Input Form'!F23</f>
        <v/>
      </c>
      <c r="F9" s="10">
        <f>'📋 Input Form'!G23</f>
        <v/>
      </c>
      <c r="G9" s="10">
        <f>'📋 Input Form'!H23</f>
        <v/>
      </c>
      <c r="H9" s="11">
        <f>'📋 Input Form'!I23</f>
        <v/>
      </c>
    </row>
    <row r="10" ht="48" customHeight="1">
      <c r="B10" s="7">
        <f>'📋 Input Form'!C24</f>
        <v/>
      </c>
      <c r="C10" s="7">
        <f>'📋 Input Form'!D24</f>
        <v/>
      </c>
      <c r="D10" s="6">
        <f>'📋 Input Form'!E24</f>
        <v/>
      </c>
      <c r="E10" s="6">
        <f>'📋 Input Form'!F24</f>
        <v/>
      </c>
      <c r="F10" s="6">
        <f>'📋 Input Form'!G24</f>
        <v/>
      </c>
      <c r="G10" s="6">
        <f>'📋 Input Form'!H24</f>
        <v/>
      </c>
      <c r="H10" s="7">
        <f>'📋 Input Form'!I24</f>
        <v/>
      </c>
    </row>
    <row r="11" ht="48" customHeight="1">
      <c r="B11" s="11">
        <f>'📋 Input Form'!C25</f>
        <v/>
      </c>
      <c r="C11" s="11">
        <f>'📋 Input Form'!D25</f>
        <v/>
      </c>
      <c r="D11" s="10">
        <f>'📋 Input Form'!E25</f>
        <v/>
      </c>
      <c r="E11" s="10">
        <f>'📋 Input Form'!F25</f>
        <v/>
      </c>
      <c r="F11" s="10">
        <f>'📋 Input Form'!G25</f>
        <v/>
      </c>
      <c r="G11" s="10">
        <f>'📋 Input Form'!H25</f>
        <v/>
      </c>
      <c r="H11" s="11">
        <f>'📋 Input Form'!I25</f>
        <v/>
      </c>
    </row>
    <row r="12" ht="48" customHeight="1">
      <c r="B12" s="7">
        <f>'📋 Input Form'!C26</f>
        <v/>
      </c>
      <c r="C12" s="7">
        <f>'📋 Input Form'!D26</f>
        <v/>
      </c>
      <c r="D12" s="6">
        <f>'📋 Input Form'!E26</f>
        <v/>
      </c>
      <c r="E12" s="6">
        <f>'📋 Input Form'!F26</f>
        <v/>
      </c>
      <c r="F12" s="6">
        <f>'📋 Input Form'!G26</f>
        <v/>
      </c>
      <c r="G12" s="6">
        <f>'📋 Input Form'!H26</f>
        <v/>
      </c>
      <c r="H12" s="7">
        <f>'📋 Input Form'!I26</f>
        <v/>
      </c>
    </row>
    <row r="13" ht="48" customHeight="1">
      <c r="B13" s="11">
        <f>'📋 Input Form'!C27</f>
        <v/>
      </c>
      <c r="C13" s="11">
        <f>'📋 Input Form'!D27</f>
        <v/>
      </c>
      <c r="D13" s="10">
        <f>'📋 Input Form'!E27</f>
        <v/>
      </c>
      <c r="E13" s="10">
        <f>'📋 Input Form'!F27</f>
        <v/>
      </c>
      <c r="F13" s="10">
        <f>'📋 Input Form'!G27</f>
        <v/>
      </c>
      <c r="G13" s="10">
        <f>'📋 Input Form'!H27</f>
        <v/>
      </c>
      <c r="H13" s="11">
        <f>'📋 Input Form'!I27</f>
        <v/>
      </c>
    </row>
  </sheetData>
  <mergeCells count="1">
    <mergeCell ref="B1:H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B25"/>
  <sheetViews>
    <sheetView showGridLines="0" workbookViewId="0">
      <selection activeCell="A1" sqref="A1"/>
    </sheetView>
  </sheetViews>
  <sheetFormatPr baseColWidth="8" defaultRowHeight="15"/>
  <cols>
    <col width="4" customWidth="1" min="1" max="1"/>
    <col width="90" customWidth="1" min="2" max="2"/>
  </cols>
  <sheetData>
    <row r="1" ht="44" customHeight="1">
      <c r="A1" s="17" t="inlineStr">
        <is>
          <t>HOW TO USE THIS PENTEST FINDING GENERATOR</t>
        </is>
      </c>
    </row>
    <row r="3" ht="26" customHeight="1">
      <c r="A3" s="33" t="inlineStr">
        <is>
          <t xml:space="preserve">  STEP 1 — Fill Engagement Info</t>
        </is>
      </c>
    </row>
    <row r="4" ht="18" customHeight="1">
      <c r="A4" s="34" t="inlineStr">
        <is>
          <t xml:space="preserve">  Go to the '📋 Input Form' sheet. Fill in Target Application, Tester Name, Test Date, Engagement ID, and Scope in the top section.</t>
        </is>
      </c>
    </row>
    <row r="6" ht="26" customHeight="1">
      <c r="A6" s="35" t="inlineStr">
        <is>
          <t xml:space="preserve">  STEP 2 — Enter Findings</t>
        </is>
      </c>
    </row>
    <row r="7" ht="18" customHeight="1">
      <c r="A7" s="36" t="inlineStr">
        <is>
          <t xml:space="preserve">  In the FINDINGS ENTRY TABLE, enter each vulnerability: Title, Description/Evidence, Severity (Critical/High/Medium/Low/Info), CVSS Score, CWE ID, Status (Open or Remediated), and Recommendation.</t>
        </is>
      </c>
    </row>
    <row r="9" ht="26" customHeight="1">
      <c r="A9" s="33" t="inlineStr">
        <is>
          <t xml:space="preserve">  STEP 3 — Generate Report with VBA Macro</t>
        </is>
      </c>
    </row>
    <row r="10" ht="18" customHeight="1">
      <c r="A10" s="34" t="inlineStr">
        <is>
          <t xml:space="preserve">  Press Alt+F8, select 'GeneratePentestReport', and click Run. This macro auto-populates the Summary and Detailed Report sheets, updates all counts and charts, and applies color coding.</t>
        </is>
      </c>
    </row>
    <row r="12" ht="26" customHeight="1">
      <c r="A12" s="35" t="inlineStr">
        <is>
          <t xml:space="preserve">  STEP 4 — Review Summary Dashboard</t>
        </is>
      </c>
    </row>
    <row r="13" ht="18" customHeight="1">
      <c r="A13" s="36" t="inlineStr">
        <is>
          <t xml:space="preserve">  Go to '📊 Summary' to see: Findings by Severity table with Open/Remediated counts, Overall Risk Score, Bar chart and Pie chart visualizations.</t>
        </is>
      </c>
    </row>
    <row r="15" ht="26" customHeight="1">
      <c r="A15" s="33" t="inlineStr">
        <is>
          <t xml:space="preserve">  STEP 5 — Detailed Report</t>
        </is>
      </c>
    </row>
    <row r="16" ht="18" customHeight="1">
      <c r="A16" s="34" t="inlineStr">
        <is>
          <t xml:space="preserve">  The '📄 Detailed Report' sheet is auto-linked to the Input Form via formulas and updates automatically as you change data.</t>
        </is>
      </c>
    </row>
    <row r="18" ht="26" customHeight="1">
      <c r="A18" s="35" t="inlineStr">
        <is>
          <t xml:space="preserve">  SEVERITY DEFINITIONS</t>
        </is>
      </c>
    </row>
    <row r="19" ht="82" customHeight="1">
      <c r="A19" s="36" t="inlineStr">
        <is>
          <t xml:space="preserve">  Critical (9.0–10.0): Immediate exploitation likely, severe impact.
High (7.0–8.9): Significant risk, likely exploitable.
Medium (4.0–6.9): Moderate risk, some conditions required.
Low (0.1–3.9): Minor risk or difficult to exploit.
Info (0.0): No direct risk, informational only.</t>
        </is>
      </c>
    </row>
    <row r="21" ht="26" customHeight="1">
      <c r="A21" s="33" t="inlineStr">
        <is>
          <t xml:space="preserve">  VBA MACRO — GeneratePentestReport</t>
        </is>
      </c>
    </row>
    <row r="22" ht="18" customHeight="1">
      <c r="A22" s="34" t="inlineStr">
        <is>
          <t xml:space="preserve">  The macro (in Module1 of VBA Editor) does: (1) Copies finding rows to Detailed Report, (2) Refreshes chart data, (3) Applies conditional formatting by severity, (4) Generates a timestamped export.</t>
        </is>
      </c>
    </row>
    <row r="24" ht="26" customHeight="1">
      <c r="A24" s="35" t="inlineStr">
        <is>
          <t xml:space="preserve">  EXPORTING</t>
        </is>
      </c>
    </row>
    <row r="25" ht="18" customHeight="1">
      <c r="A25" s="36" t="inlineStr">
        <is>
          <t xml:space="preserve">  Run the ExportToPDF macro via Alt+F8 to export the Summary and Detailed Report sheets as a PDF to the same folder as this workbook.</t>
        </is>
      </c>
    </row>
  </sheetData>
  <mergeCells count="17">
    <mergeCell ref="A4:B4"/>
    <mergeCell ref="A21:B21"/>
    <mergeCell ref="A16:B16"/>
    <mergeCell ref="A24:B24"/>
    <mergeCell ref="A15:B15"/>
    <mergeCell ref="A7:B7"/>
    <mergeCell ref="A25:B25"/>
    <mergeCell ref="A19:B19"/>
    <mergeCell ref="A10:B10"/>
    <mergeCell ref="A13:B13"/>
    <mergeCell ref="A1:B1"/>
    <mergeCell ref="A18:B18"/>
    <mergeCell ref="A9:B9"/>
    <mergeCell ref="A3:B3"/>
    <mergeCell ref="A6:B6"/>
    <mergeCell ref="A22:B22"/>
    <mergeCell ref="A12:B1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2026-06-01T00:46:45Z</dcterms:created>
  <dcterms:modified xmlns:dcterms="http://purl.org/dc/terms/" xmlns:xsi="http://www.w3.org/2001/XMLSchema-instance" xsi:type="dcterms:W3CDTF">2026-06-01T00:46:45Z</dcterms:modified>
</cp:coreProperties>
</file>